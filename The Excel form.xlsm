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3125007\Documents\My docs\Excel Project 2023\"/>
    </mc:Choice>
  </mc:AlternateContent>
  <bookViews>
    <workbookView xWindow="0" yWindow="0" windowWidth="20490" windowHeight="7650" firstSheet="1" activeTab="1"/>
  </bookViews>
  <sheets>
    <sheet name="Concepts used" sheetId="3" state="hidden" r:id="rId1"/>
    <sheet name="Fill the form" sheetId="1" r:id="rId2"/>
    <sheet name="Validation source" sheetId="2" state="hidden" r:id="rId3"/>
    <sheet name="Data source" sheetId="5" r:id="rId4"/>
    <sheet name="Data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5" l="1"/>
  <c r="A4" i="5"/>
  <c r="A9" i="5"/>
  <c r="A8" i="5"/>
  <c r="A7" i="5"/>
  <c r="A6" i="5"/>
  <c r="A5" i="5"/>
  <c r="A3" i="5"/>
  <c r="A2" i="5"/>
  <c r="A1" i="5"/>
  <c r="I14" i="1" l="1"/>
  <c r="I12" i="1"/>
  <c r="I10" i="1"/>
  <c r="I6" i="1"/>
  <c r="I4" i="1"/>
  <c r="I2" i="1"/>
</calcChain>
</file>

<file path=xl/sharedStrings.xml><?xml version="1.0" encoding="utf-8"?>
<sst xmlns="http://schemas.openxmlformats.org/spreadsheetml/2006/main" count="135" uniqueCount="104">
  <si>
    <t>Name:</t>
  </si>
  <si>
    <t>Phone no.:</t>
  </si>
  <si>
    <t>ID number:</t>
  </si>
  <si>
    <t>Gender:</t>
  </si>
  <si>
    <t>Nationality:</t>
  </si>
  <si>
    <t>Level of education:</t>
  </si>
  <si>
    <t>Area of specialization:</t>
  </si>
  <si>
    <t>Currently employed?</t>
  </si>
  <si>
    <t>Satisfied with service?</t>
  </si>
  <si>
    <t>Algeria</t>
  </si>
  <si>
    <t>Angola</t>
  </si>
  <si>
    <t>Benin</t>
  </si>
  <si>
    <t>Botswana</t>
  </si>
  <si>
    <t>Burkina Faso</t>
  </si>
  <si>
    <t>Burundi</t>
  </si>
  <si>
    <t>Cabo Verde</t>
  </si>
  <si>
    <t>Cameroon</t>
  </si>
  <si>
    <t>Central African Republic (CAR)</t>
  </si>
  <si>
    <t>Chad</t>
  </si>
  <si>
    <t>Comoros</t>
  </si>
  <si>
    <t>Congo, Democratic Republic of the</t>
  </si>
  <si>
    <t>Congo, Republic of the</t>
  </si>
  <si>
    <t>Cote d’Ivoire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</si>
  <si>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</si>
  <si>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</si>
  <si>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</si>
  <si>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</si>
  <si>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</si>
  <si>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</si>
  <si>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</si>
  <si>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</si>
  <si>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</si>
  <si>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</si>
  <si>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</si>
  <si>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</si>
  <si>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</si>
  <si>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</si>
  <si>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</si>
  <si>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</si>
  <si>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</si>
  <si>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</si>
  <si>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</si>
  <si>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</si>
  <si>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</si>
  <si>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</si>
  <si>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</si>
  <si>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</si>
  <si>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</si>
  <si>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</si>
  <si>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</si>
  <si>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</si>
  <si>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</si>
  <si>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</si>
  <si>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</si>
  <si>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</si>
  <si>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</si>
  <si>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</si>
  <si>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</si>
  <si>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</si>
  <si>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</si>
  <si>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</si>
  <si>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</si>
  <si>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</si>
  <si>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Nationality</t>
  </si>
  <si>
    <t>Not African</t>
  </si>
  <si>
    <t>Level of education</t>
  </si>
  <si>
    <t>High school</t>
  </si>
  <si>
    <t>Undergraduate</t>
  </si>
  <si>
    <t>Postgraduate</t>
  </si>
  <si>
    <t>Diploma</t>
  </si>
  <si>
    <t>Doctorate</t>
  </si>
  <si>
    <t>Not studied</t>
  </si>
  <si>
    <t>Conditional formating</t>
  </si>
  <si>
    <t>Data validation</t>
  </si>
  <si>
    <t>Area of specialization</t>
  </si>
  <si>
    <t>Agriculture</t>
  </si>
  <si>
    <t>Finance</t>
  </si>
  <si>
    <t>Medicine</t>
  </si>
  <si>
    <t>Education</t>
  </si>
  <si>
    <t>Chemicals &amp; mechanics</t>
  </si>
  <si>
    <t>Tourism</t>
  </si>
  <si>
    <t>Media &amp; culture</t>
  </si>
  <si>
    <t>Telecommunication</t>
  </si>
  <si>
    <t>Construction &amp; manufaturing</t>
  </si>
  <si>
    <t>Form controls: buttons and group boxes</t>
  </si>
  <si>
    <t>Name</t>
  </si>
  <si>
    <t>Phone no.</t>
  </si>
  <si>
    <t>ID number</t>
  </si>
  <si>
    <t>Gender</t>
  </si>
  <si>
    <t>Identifier</t>
  </si>
  <si>
    <t>Save entry</t>
  </si>
  <si>
    <t>Male</t>
  </si>
  <si>
    <t>No</t>
  </si>
  <si>
    <t>Not sure</t>
  </si>
  <si>
    <t>Female</t>
  </si>
  <si>
    <t>Yes</t>
  </si>
  <si>
    <t>Macros for automation</t>
  </si>
  <si>
    <t>sema</t>
  </si>
  <si>
    <t>yote</t>
  </si>
  <si>
    <t>werio</t>
  </si>
  <si>
    <t>mimi</t>
  </si>
  <si>
    <t>wewe</t>
  </si>
  <si>
    <t>pole</t>
  </si>
  <si>
    <t>hapo sasa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</si>
</sst>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[$-409]m/d/yy\ h:mm\ AM/PM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0"/>
      <name val="Calibri"/>
      <family val="2"/>
      <scheme val="minor"/>
    </font>
    <font>
      <sz val="8"/>
      <name val="Segoe UI"/>
      <family val="2"/>
    </font>
    <font>
      <b/>
      <sz val="11"/>
      <name val="Calibri"/>
      <family val="2"/>
      <scheme val="minor"/>
    </font>
    <font>
      <b/>
      <sz val="1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0" xfId="0" applyFill="1" applyAlignment="1">
      <alignment horizontal="left"/>
    </xf>
    <xf numFmtId="0" fontId="3" fillId="4" borderId="0" xfId="0" applyFont="1" applyFill="1" applyAlignment="1">
      <alignment horizontal="center"/>
    </xf>
    <xf numFmtId="0" fontId="5" fillId="3" borderId="1" xfId="0" applyFont="1" applyFill="1" applyBorder="1"/>
    <xf numFmtId="0" fontId="3" fillId="0" borderId="0" xfId="0" applyFont="1"/>
    <xf numFmtId="14" fontId="0" fillId="0" borderId="0" xfId="0" applyNumberFormat="1"/>
    <xf numFmtId="18" fontId="0" fillId="0" borderId="0" xfId="0" applyNumberFormat="1"/>
    <xf numFmtId="0" fontId="6" fillId="3" borderId="1" xfId="0" applyFont="1" applyFill="1" applyBorder="1"/>
    <xf numFmtId="22" fontId="0" fillId="0" borderId="0" xfId="0" applyNumberFormat="1"/>
    <xf numFmtId="170" fontId="0" fillId="0" borderId="0" xfId="0" applyNumberFormat="1"/>
  </cellXfs>
  <cellStyles count="1">
    <cellStyle name="Normal" xfId="0" builtinId="0"/>
  </cellStyles>
  <dxfs count="7"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I$1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I$8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$I$18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8</xdr:col>
          <xdr:colOff>0</xdr:colOff>
          <xdr:row>16</xdr:row>
          <xdr:rowOff>0</xdr:rowOff>
        </xdr:to>
        <xdr:sp macro="" textlink="">
          <xdr:nvSpPr>
            <xdr:cNvPr id="1044" name="Group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1</xdr:rowOff>
        </xdr:from>
        <xdr:to>
          <xdr:col>7</xdr:col>
          <xdr:colOff>0</xdr:colOff>
          <xdr:row>16</xdr:row>
          <xdr:rowOff>1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61" name="Group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</xdr:rowOff>
        </xdr:from>
        <xdr:to>
          <xdr:col>4</xdr:col>
          <xdr:colOff>0</xdr:colOff>
          <xdr:row>8</xdr:row>
          <xdr:rowOff>1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7</xdr:row>
          <xdr:rowOff>1</xdr:rowOff>
        </xdr:from>
        <xdr:to>
          <xdr:col>5</xdr:col>
          <xdr:colOff>600075</xdr:colOff>
          <xdr:row>8</xdr:row>
          <xdr:rowOff>1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1064" name="Group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</xdr:rowOff>
        </xdr:from>
        <xdr:to>
          <xdr:col>4</xdr:col>
          <xdr:colOff>0</xdr:colOff>
          <xdr:row>18</xdr:row>
          <xdr:rowOff>1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17</xdr:row>
          <xdr:rowOff>0</xdr:rowOff>
        </xdr:from>
        <xdr:to>
          <xdr:col>5</xdr:col>
          <xdr:colOff>180975</xdr:colOff>
          <xdr:row>18</xdr:row>
          <xdr:rowOff>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 sure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19050</xdr:rowOff>
        </xdr:from>
        <xdr:to>
          <xdr:col>6</xdr:col>
          <xdr:colOff>9525</xdr:colOff>
          <xdr:row>20</xdr:row>
          <xdr:rowOff>28575</xdr:rowOff>
        </xdr:to>
        <xdr:pic macro="[0]!trial8">
          <xdr:nvPicPr>
            <xdr:cNvPr id="47" name="Picture 46"/>
            <xdr:cNvPicPr>
              <a:picLocks noChangeAspect="1" noChangeArrowheads="1"/>
              <a:extLst>
                <a:ext uri="{84589F7E-364E-4C9E-8A38-B11213B215E9}">
                  <a14:cameraTool cellRange="$E$27" spid="_x0000_s11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90900" y="3638550"/>
              <a:ext cx="1228725" cy="200025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2:K10" headerRowDxfId="4" headerRowBorderDxfId="5" tableBorderDxfId="6">
  <autoFilter ref="B2:K10"/>
  <tableColumns count="10">
    <tableColumn id="2" name="Name"/>
    <tableColumn id="3" name="Phone no."/>
    <tableColumn id="4" name="ID number"/>
    <tableColumn id="5" name="Gender"/>
    <tableColumn id="6" name="Nationality"/>
    <tableColumn id="7" name="Level of education"/>
    <tableColumn id="8" name="Area of specialization"/>
    <tableColumn id="9" name="Currently employed?"/>
    <tableColumn id="10" name="Satisfied with service?" totalsRowFunction="count"/>
    <tableColumn id="22" name="Identifier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5"/>
  <sheetViews>
    <sheetView workbookViewId="0">
      <selection activeCell="A6" sqref="A6"/>
    </sheetView>
  </sheetViews>
  <sheetFormatPr defaultRowHeight="15" x14ac:dyDescent="0.25"/>
  <sheetData>
    <row r="2" spans="1:1" x14ac:dyDescent="0.25">
      <c r="A2" t="s">
        <v>72</v>
      </c>
    </row>
    <row r="3" spans="1:1" x14ac:dyDescent="0.25">
      <c r="A3" t="s">
        <v>73</v>
      </c>
    </row>
    <row r="4" spans="1:1" x14ac:dyDescent="0.25">
      <c r="A4" t="s">
        <v>84</v>
      </c>
    </row>
    <row r="5" spans="1:1" x14ac:dyDescent="0.25">
      <c r="A5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L27"/>
  <sheetViews>
    <sheetView showGridLines="0" tabSelected="1" workbookViewId="0">
      <selection activeCell="H22" sqref="H22"/>
    </sheetView>
  </sheetViews>
  <sheetFormatPr defaultRowHeight="15" x14ac:dyDescent="0.25"/>
  <cols>
    <col min="2" max="2" width="23.42578125" bestFit="1" customWidth="1"/>
    <col min="12" max="12" width="15.140625" bestFit="1" customWidth="1"/>
  </cols>
  <sheetData>
    <row r="1" spans="2:12" x14ac:dyDescent="0.25">
      <c r="L1" s="11"/>
    </row>
    <row r="2" spans="2:12" x14ac:dyDescent="0.25">
      <c r="B2" t="s">
        <v>0</v>
      </c>
      <c r="C2" s="3"/>
      <c r="D2" s="3"/>
      <c r="E2" s="3"/>
      <c r="F2" s="3"/>
      <c r="G2" s="3"/>
      <c r="H2" s="3"/>
      <c r="I2" s="1" t="str">
        <f>IF(C2="","","P")</f>
        <v/>
      </c>
    </row>
    <row r="3" spans="2:12" ht="9" customHeight="1" x14ac:dyDescent="0.25"/>
    <row r="4" spans="2:12" x14ac:dyDescent="0.25">
      <c r="B4" t="s">
        <v>1</v>
      </c>
      <c r="C4" s="3"/>
      <c r="D4" s="3"/>
      <c r="E4" s="3"/>
      <c r="F4" s="3"/>
      <c r="G4" s="3"/>
      <c r="H4" s="3"/>
      <c r="I4" s="1" t="str">
        <f>IF(C4="","","P")</f>
        <v/>
      </c>
    </row>
    <row r="5" spans="2:12" ht="9" customHeight="1" x14ac:dyDescent="0.25"/>
    <row r="6" spans="2:12" x14ac:dyDescent="0.25">
      <c r="B6" t="s">
        <v>2</v>
      </c>
      <c r="C6" s="3"/>
      <c r="D6" s="3"/>
      <c r="E6" s="3"/>
      <c r="F6" s="3"/>
      <c r="G6" s="3"/>
      <c r="H6" s="3"/>
      <c r="I6" s="1" t="str">
        <f>IF(C6="","","P")</f>
        <v/>
      </c>
    </row>
    <row r="7" spans="2:12" ht="9" customHeight="1" x14ac:dyDescent="0.25"/>
    <row r="8" spans="2:12" x14ac:dyDescent="0.25">
      <c r="B8" t="s">
        <v>3</v>
      </c>
      <c r="I8" s="6">
        <v>1</v>
      </c>
    </row>
    <row r="9" spans="2:12" ht="9" customHeight="1" x14ac:dyDescent="0.25"/>
    <row r="10" spans="2:12" x14ac:dyDescent="0.25">
      <c r="B10" t="s">
        <v>4</v>
      </c>
      <c r="C10" s="3"/>
      <c r="D10" s="3"/>
      <c r="E10" s="3"/>
      <c r="F10" s="3"/>
      <c r="G10" s="3"/>
      <c r="H10" s="3"/>
      <c r="I10" s="1" t="str">
        <f>IF(C10="","","P")</f>
        <v/>
      </c>
    </row>
    <row r="11" spans="2:12" ht="9" customHeight="1" x14ac:dyDescent="0.25"/>
    <row r="12" spans="2:12" x14ac:dyDescent="0.25">
      <c r="B12" t="s">
        <v>5</v>
      </c>
      <c r="C12" s="3"/>
      <c r="D12" s="3"/>
      <c r="E12" s="3"/>
      <c r="F12" s="3"/>
      <c r="G12" s="3"/>
      <c r="H12" s="3"/>
      <c r="I12" s="1" t="str">
        <f>IF(C12="","","P")</f>
        <v/>
      </c>
    </row>
    <row r="13" spans="2:12" ht="9" customHeight="1" x14ac:dyDescent="0.25"/>
    <row r="14" spans="2:12" x14ac:dyDescent="0.25">
      <c r="B14" t="s">
        <v>6</v>
      </c>
      <c r="C14" s="3"/>
      <c r="D14" s="3"/>
      <c r="E14" s="3"/>
      <c r="F14" s="3"/>
      <c r="G14" s="3"/>
      <c r="H14" s="3"/>
      <c r="I14" s="1" t="str">
        <f>IF(C14="","","P")</f>
        <v/>
      </c>
    </row>
    <row r="15" spans="2:12" ht="9" customHeight="1" x14ac:dyDescent="0.25"/>
    <row r="16" spans="2:12" x14ac:dyDescent="0.25">
      <c r="B16" t="s">
        <v>7</v>
      </c>
      <c r="I16" s="6">
        <v>1</v>
      </c>
    </row>
    <row r="17" spans="2:9" ht="9" customHeight="1" x14ac:dyDescent="0.25"/>
    <row r="18" spans="2:9" x14ac:dyDescent="0.25">
      <c r="B18" t="s">
        <v>8</v>
      </c>
      <c r="I18" s="6">
        <v>3</v>
      </c>
    </row>
    <row r="19" spans="2:9" ht="9" customHeight="1" x14ac:dyDescent="0.25"/>
    <row r="27" spans="2:9" x14ac:dyDescent="0.25">
      <c r="E27" s="4" t="s">
        <v>90</v>
      </c>
      <c r="F27" s="4"/>
    </row>
  </sheetData>
  <mergeCells count="7">
    <mergeCell ref="E27:F27"/>
    <mergeCell ref="C2:H2"/>
    <mergeCell ref="C14:H14"/>
    <mergeCell ref="C12:H12"/>
    <mergeCell ref="C10:H10"/>
    <mergeCell ref="C6:H6"/>
    <mergeCell ref="C4:H4"/>
  </mergeCells>
  <conditionalFormatting sqref="C2:H2 C4:H4 C6:H6 C10:H10 C12:H12 C14:H14">
    <cfRule type="notContainsBlanks" dxfId="3" priority="3">
      <formula>LEN(TRIM(C2))&gt;0</formula>
    </cfRule>
  </conditionalFormatting>
  <conditionalFormatting sqref="I2 I4 I6 I10 I12 I14">
    <cfRule type="notContainsBlanks" dxfId="2" priority="4">
      <formula>LEN(TRIM(I2))&gt;0</formula>
    </cfRule>
  </conditionalFormatting>
  <conditionalFormatting sqref="F27">
    <cfRule type="expression" dxfId="1" priority="1">
      <formula>COUNTA(D2,D4,D6,N5,D10,D12,D14,N9,N10)=9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Group Box 20">
              <controlPr defaultSize="0" autoFill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Option Button 24">
              <controlPr defaultSize="0" autoFill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Option Button 25">
              <controlPr defaultSize="0" autoFill="0" autoLine="0" autoPict="0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Group Box 37">
              <controlPr defaultSize="0" autoFill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Option Button 38">
              <controlPr defaultSize="0" autoFill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Option Button 39">
              <controlPr defaultSize="0" autoFill="0" autoLine="0" autoPict="0">
                <anchor moveWithCells="1">
                  <from>
                    <xdr:col>4</xdr:col>
                    <xdr:colOff>600075</xdr:colOff>
                    <xdr:row>7</xdr:row>
                    <xdr:rowOff>0</xdr:rowOff>
                  </from>
                  <to>
                    <xdr:col>5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0" name="Group Box 40">
              <controlPr defaultSize="0" autoFill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Option Button 42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Option Button 43">
              <controlPr defaultSize="0" autoFill="0" autoLine="0" autoPict="0">
                <anchor moveWithCells="1">
                  <from>
                    <xdr:col>4</xdr:col>
                    <xdr:colOff>180975</xdr:colOff>
                    <xdr:row>17</xdr:row>
                    <xdr:rowOff>0</xdr:rowOff>
                  </from>
                  <to>
                    <xdr:col>5</xdr:col>
                    <xdr:colOff>180975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Option Button 44">
              <controlPr defaultSize="0" autoFill="0" autoLine="0" autoPict="0">
                <anchor mov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482F50D-9DE5-45DA-90B8-A0308D9FE722}">
            <xm:f>COUNTA(C2,C4,C6,'Data source'!A4,C10,C12,C14,'Data source'!A8,'Data source'!A9)=9</xm:f>
            <x14:dxf>
              <font>
                <color theme="0"/>
              </font>
              <fill>
                <patternFill>
                  <bgColor theme="9" tint="-0.499984740745262"/>
                </patternFill>
              </fill>
            </x14:dxf>
          </x14:cfRule>
          <xm:sqref>E27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446" yWindow="389" count="3">
        <x14:dataValidation type="list" allowBlank="1" showInputMessage="1" showErrorMessage="1" error="Select one" prompt="Select one">
          <x14:formula1>
            <xm:f>'Validation source'!$A$2:$A$56</xm:f>
          </x14:formula1>
          <xm:sqref>C10:H10</xm:sqref>
        </x14:dataValidation>
        <x14:dataValidation type="list" allowBlank="1" showInputMessage="1" showErrorMessage="1" error="Select one">
          <x14:formula1>
            <xm:f>'Validation source'!$C$2:$C$7</xm:f>
          </x14:formula1>
          <xm:sqref>C12:H12</xm:sqref>
        </x14:dataValidation>
        <x14:dataValidation type="list" allowBlank="1" showInputMessage="1" showErrorMessage="1">
          <x14:formula1>
            <xm:f>'Validation source'!$F$2:$F$10</xm:f>
          </x14:formula1>
          <xm:sqref>C14:H14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6"/>
  <sheetViews>
    <sheetView workbookViewId="0">
      <selection activeCell="H13" sqref="H13"/>
    </sheetView>
  </sheetViews>
  <sheetFormatPr defaultRowHeight="15" x14ac:dyDescent="0.25"/>
  <cols>
    <col min="1" max="1" width="32.140625" bestFit="1" customWidth="1"/>
  </cols>
  <sheetData>
    <row r="1" spans="1:12" x14ac:dyDescent="0.25">
      <c r="A1" s="2" t="s">
        <v>63</v>
      </c>
      <c r="C1" s="2" t="s">
        <v>65</v>
      </c>
      <c r="F1" s="2" t="s">
        <v>74</v>
      </c>
      <c r="L1" s="10"/>
    </row>
    <row r="2" spans="1:12" x14ac:dyDescent="0.25">
      <c r="A2" t="s">
        <v>9</v>
      </c>
      <c r="C2" t="s">
        <v>66</v>
      </c>
      <c r="F2" t="s">
        <v>75</v>
      </c>
    </row>
    <row r="3" spans="1:12" x14ac:dyDescent="0.25">
      <c r="A3" t="s">
        <v>10</v>
      </c>
      <c r="C3" t="s">
        <v>69</v>
      </c>
      <c r="F3" t="s">
        <v>79</v>
      </c>
    </row>
    <row r="4" spans="1:12" x14ac:dyDescent="0.25">
      <c r="A4" t="s">
        <v>11</v>
      </c>
      <c r="C4" t="s">
        <v>67</v>
      </c>
      <c r="F4" t="s">
        <v>83</v>
      </c>
    </row>
    <row r="5" spans="1:12" x14ac:dyDescent="0.25">
      <c r="A5" t="s">
        <v>12</v>
      </c>
      <c r="C5" t="s">
        <v>68</v>
      </c>
      <c r="F5" t="s">
        <v>78</v>
      </c>
    </row>
    <row r="6" spans="1:12" x14ac:dyDescent="0.25">
      <c r="A6" t="s">
        <v>13</v>
      </c>
      <c r="C6" t="s">
        <v>70</v>
      </c>
      <c r="F6" t="s">
        <v>76</v>
      </c>
    </row>
    <row r="7" spans="1:12" x14ac:dyDescent="0.25">
      <c r="A7" t="s">
        <v>14</v>
      </c>
      <c r="C7" t="s">
        <v>71</v>
      </c>
      <c r="F7" t="s">
        <v>81</v>
      </c>
    </row>
    <row r="8" spans="1:12" x14ac:dyDescent="0.25">
      <c r="A8" t="s">
        <v>15</v>
      </c>
      <c r="F8" t="s">
        <v>77</v>
      </c>
    </row>
    <row r="9" spans="1:12" x14ac:dyDescent="0.25">
      <c r="A9" t="s">
        <v>16</v>
      </c>
      <c r="F9" t="s">
        <v>82</v>
      </c>
    </row>
    <row r="10" spans="1:12" x14ac:dyDescent="0.25">
      <c r="A10" t="s">
        <v>17</v>
      </c>
      <c r="F10" t="s">
        <v>80</v>
      </c>
    </row>
    <row r="11" spans="1:12" x14ac:dyDescent="0.25">
      <c r="A11" t="s">
        <v>18</v>
      </c>
    </row>
    <row r="12" spans="1:12" x14ac:dyDescent="0.25">
      <c r="A12" t="s">
        <v>19</v>
      </c>
    </row>
    <row r="13" spans="1:12" x14ac:dyDescent="0.25">
      <c r="A13" t="s">
        <v>20</v>
      </c>
    </row>
    <row r="14" spans="1:12" x14ac:dyDescent="0.25">
      <c r="A14" t="s">
        <v>21</v>
      </c>
    </row>
    <row r="15" spans="1:12" x14ac:dyDescent="0.25">
      <c r="A15" t="s">
        <v>22</v>
      </c>
    </row>
    <row r="16" spans="1:12" x14ac:dyDescent="0.25">
      <c r="A16" t="s">
        <v>23</v>
      </c>
    </row>
    <row r="17" spans="1:1" x14ac:dyDescent="0.25">
      <c r="A17" t="s">
        <v>24</v>
      </c>
    </row>
    <row r="18" spans="1:1" x14ac:dyDescent="0.25">
      <c r="A18" t="s">
        <v>25</v>
      </c>
    </row>
    <row r="19" spans="1:1" x14ac:dyDescent="0.25">
      <c r="A19" t="s">
        <v>26</v>
      </c>
    </row>
    <row r="20" spans="1:1" x14ac:dyDescent="0.25">
      <c r="A20" t="s">
        <v>27</v>
      </c>
    </row>
    <row r="21" spans="1:1" x14ac:dyDescent="0.25">
      <c r="A21" t="s">
        <v>28</v>
      </c>
    </row>
    <row r="22" spans="1:1" x14ac:dyDescent="0.25">
      <c r="A22" t="s">
        <v>29</v>
      </c>
    </row>
    <row r="23" spans="1:1" x14ac:dyDescent="0.25">
      <c r="A23" t="s">
        <v>30</v>
      </c>
    </row>
    <row r="24" spans="1:1" x14ac:dyDescent="0.25">
      <c r="A24" t="s">
        <v>31</v>
      </c>
    </row>
    <row r="25" spans="1:1" x14ac:dyDescent="0.25">
      <c r="A25" t="s">
        <v>32</v>
      </c>
    </row>
    <row r="26" spans="1:1" x14ac:dyDescent="0.25">
      <c r="A26" t="s">
        <v>33</v>
      </c>
    </row>
    <row r="27" spans="1:1" x14ac:dyDescent="0.25">
      <c r="A27" t="s">
        <v>34</v>
      </c>
    </row>
    <row r="28" spans="1:1" x14ac:dyDescent="0.25">
      <c r="A28" t="s">
        <v>35</v>
      </c>
    </row>
    <row r="29" spans="1:1" x14ac:dyDescent="0.25">
      <c r="A29" t="s">
        <v>36</v>
      </c>
    </row>
    <row r="30" spans="1:1" x14ac:dyDescent="0.25">
      <c r="A30" t="s">
        <v>37</v>
      </c>
    </row>
    <row r="31" spans="1:1" x14ac:dyDescent="0.25">
      <c r="A31" t="s">
        <v>38</v>
      </c>
    </row>
    <row r="32" spans="1:1" x14ac:dyDescent="0.25">
      <c r="A32" t="s">
        <v>39</v>
      </c>
    </row>
    <row r="33" spans="1:1" x14ac:dyDescent="0.25">
      <c r="A33" t="s">
        <v>40</v>
      </c>
    </row>
    <row r="34" spans="1:1" x14ac:dyDescent="0.25">
      <c r="A34" t="s">
        <v>41</v>
      </c>
    </row>
    <row r="35" spans="1:1" x14ac:dyDescent="0.25">
      <c r="A35" t="s">
        <v>42</v>
      </c>
    </row>
    <row r="36" spans="1:1" x14ac:dyDescent="0.25">
      <c r="A36" t="s">
        <v>43</v>
      </c>
    </row>
    <row r="37" spans="1:1" x14ac:dyDescent="0.25">
      <c r="A37" t="s">
        <v>44</v>
      </c>
    </row>
    <row r="38" spans="1:1" x14ac:dyDescent="0.25">
      <c r="A38" t="s">
        <v>45</v>
      </c>
    </row>
    <row r="39" spans="1:1" x14ac:dyDescent="0.25">
      <c r="A39" t="s">
        <v>46</v>
      </c>
    </row>
    <row r="40" spans="1:1" x14ac:dyDescent="0.25">
      <c r="A40" t="s">
        <v>47</v>
      </c>
    </row>
    <row r="41" spans="1:1" x14ac:dyDescent="0.25">
      <c r="A41" t="s">
        <v>48</v>
      </c>
    </row>
    <row r="42" spans="1:1" x14ac:dyDescent="0.25">
      <c r="A42" t="s">
        <v>49</v>
      </c>
    </row>
    <row r="43" spans="1:1" x14ac:dyDescent="0.25">
      <c r="A43" t="s">
        <v>50</v>
      </c>
    </row>
    <row r="44" spans="1:1" x14ac:dyDescent="0.25">
      <c r="A44" t="s">
        <v>51</v>
      </c>
    </row>
    <row r="45" spans="1:1" x14ac:dyDescent="0.25">
      <c r="A45" t="s">
        <v>52</v>
      </c>
    </row>
    <row r="46" spans="1:1" x14ac:dyDescent="0.25">
      <c r="A46" t="s">
        <v>53</v>
      </c>
    </row>
    <row r="47" spans="1:1" x14ac:dyDescent="0.25">
      <c r="A47" t="s">
        <v>54</v>
      </c>
    </row>
    <row r="48" spans="1:1" x14ac:dyDescent="0.25">
      <c r="A48" t="s">
        <v>55</v>
      </c>
    </row>
    <row r="49" spans="1:1" x14ac:dyDescent="0.25">
      <c r="A49" t="s">
        <v>56</v>
      </c>
    </row>
    <row r="50" spans="1:1" x14ac:dyDescent="0.25">
      <c r="A50" t="s">
        <v>57</v>
      </c>
    </row>
    <row r="51" spans="1:1" x14ac:dyDescent="0.25">
      <c r="A51" t="s">
        <v>58</v>
      </c>
    </row>
    <row r="52" spans="1:1" x14ac:dyDescent="0.25">
      <c r="A52" t="s">
        <v>59</v>
      </c>
    </row>
    <row r="53" spans="1:1" x14ac:dyDescent="0.25">
      <c r="A53" t="s">
        <v>60</v>
      </c>
    </row>
    <row r="54" spans="1:1" x14ac:dyDescent="0.25">
      <c r="A54" t="s">
        <v>61</v>
      </c>
    </row>
    <row r="55" spans="1:1" x14ac:dyDescent="0.25">
      <c r="A55" t="s">
        <v>62</v>
      </c>
    </row>
    <row r="56" spans="1:1" x14ac:dyDescent="0.25">
      <c r="A56" t="s">
        <v>64</v>
      </c>
    </row>
  </sheetData>
  <sortState ref="F2:F10">
    <sortCondition ref="F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1"/>
  <sheetViews>
    <sheetView workbookViewId="0">
      <selection activeCell="C1" sqref="C1:L1"/>
    </sheetView>
  </sheetViews>
  <sheetFormatPr defaultRowHeight="15" x14ac:dyDescent="0.25"/>
  <cols>
    <col min="1" max="1" width="15.140625" bestFit="1" customWidth="1"/>
    <col min="12" max="12" width="16.28515625" bestFit="1" customWidth="1"/>
  </cols>
  <sheetData>
    <row r="1" spans="1:12" x14ac:dyDescent="0.25">
      <c r="A1">
        <f>'Fill the form'!C2</f>
        <v>0</v>
      </c>
      <c r="C1" t="s">
        <v>103</v>
      </c>
      <c r="D1">
        <v>23</v>
      </c>
      <c r="E1">
        <v>12</v>
      </c>
      <c r="F1" t="s">
        <v>91</v>
      </c>
      <c r="G1" t="s">
        <v>16</v>
      </c>
      <c r="H1" t="s">
        <v>71</v>
      </c>
      <c r="I1" t="s">
        <v>78</v>
      </c>
      <c r="J1" t="s">
        <v>95</v>
      </c>
      <c r="K1" t="s">
        <v>93</v>
      </c>
      <c r="L1" s="11">
        <v>44950.639677199077</v>
      </c>
    </row>
    <row r="2" spans="1:12" x14ac:dyDescent="0.25">
      <c r="A2">
        <f>'Fill the form'!C4</f>
        <v>0</v>
      </c>
    </row>
    <row r="3" spans="1:12" x14ac:dyDescent="0.25">
      <c r="A3">
        <f>'Fill the form'!C6</f>
        <v>0</v>
      </c>
    </row>
    <row r="4" spans="1:12" x14ac:dyDescent="0.25">
      <c r="A4" t="str">
        <f>IF('Fill the form'!I8=1,"Male", "Female")</f>
        <v>Male</v>
      </c>
    </row>
    <row r="5" spans="1:12" x14ac:dyDescent="0.25">
      <c r="A5">
        <f>'Fill the form'!C10</f>
        <v>0</v>
      </c>
    </row>
    <row r="6" spans="1:12" x14ac:dyDescent="0.25">
      <c r="A6">
        <f>'Fill the form'!C12</f>
        <v>0</v>
      </c>
    </row>
    <row r="7" spans="1:12" x14ac:dyDescent="0.25">
      <c r="A7">
        <f>'Fill the form'!C14</f>
        <v>0</v>
      </c>
    </row>
    <row r="8" spans="1:12" x14ac:dyDescent="0.25">
      <c r="A8" t="str">
        <f>IF('Fill the form'!I16=1,"Yes","No")</f>
        <v>Yes</v>
      </c>
    </row>
    <row r="9" spans="1:12" x14ac:dyDescent="0.25">
      <c r="A9" t="str">
        <f>IF('Fill the form'!I18=1,"Yes",IF('Fill the form'!I18=2,"No","Not sure"))</f>
        <v>Not sure</v>
      </c>
    </row>
    <row r="10" spans="1:12" x14ac:dyDescent="0.25">
      <c r="A10" s="11">
        <f ca="1">NOW()</f>
        <v>44950.639847222221</v>
      </c>
    </row>
    <row r="11" spans="1:12" x14ac:dyDescent="0.25">
      <c r="L11" s="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S24"/>
  <sheetViews>
    <sheetView showGridLines="0" zoomScale="85" zoomScaleNormal="85" workbookViewId="0">
      <selection activeCell="B3" sqref="B3"/>
    </sheetView>
  </sheetViews>
  <sheetFormatPr defaultRowHeight="15" x14ac:dyDescent="0.25"/>
  <cols>
    <col min="1" max="1" width="3.28515625" customWidth="1"/>
    <col min="2" max="2" width="8.42578125" customWidth="1"/>
    <col min="3" max="3" width="12.140625" customWidth="1"/>
    <col min="4" max="4" width="12.42578125" customWidth="1"/>
    <col min="5" max="5" width="9.85546875" customWidth="1"/>
    <col min="6" max="6" width="13" customWidth="1"/>
    <col min="7" max="7" width="19.42578125" customWidth="1"/>
    <col min="8" max="8" width="22.140625" customWidth="1"/>
    <col min="9" max="9" width="21.85546875" customWidth="1"/>
    <col min="10" max="11" width="23" customWidth="1"/>
    <col min="13" max="13" width="9.7109375" bestFit="1" customWidth="1"/>
  </cols>
  <sheetData>
    <row r="2" spans="2:13" x14ac:dyDescent="0.25">
      <c r="B2" s="5" t="s">
        <v>85</v>
      </c>
      <c r="C2" s="5" t="s">
        <v>86</v>
      </c>
      <c r="D2" s="5" t="s">
        <v>87</v>
      </c>
      <c r="E2" s="5" t="s">
        <v>88</v>
      </c>
      <c r="F2" s="5" t="s">
        <v>63</v>
      </c>
      <c r="G2" s="5" t="s">
        <v>65</v>
      </c>
      <c r="H2" s="5" t="s">
        <v>74</v>
      </c>
      <c r="I2" s="5" t="s">
        <v>7</v>
      </c>
      <c r="J2" s="5" t="s">
        <v>8</v>
      </c>
      <c r="K2" s="9" t="s">
        <v>89</v>
      </c>
    </row>
    <row r="3" spans="2:13" x14ac:dyDescent="0.25">
      <c r="B3" t="s">
        <v>103</v>
      </c>
      <c r="C3">
        <v>23</v>
      </c>
      <c r="D3">
        <v>12</v>
      </c>
      <c r="E3" t="s">
        <v>91</v>
      </c>
      <c r="F3" t="s">
        <v>16</v>
      </c>
      <c r="G3" t="s">
        <v>71</v>
      </c>
      <c r="H3" t="s">
        <v>78</v>
      </c>
      <c r="I3" t="s">
        <v>95</v>
      </c>
      <c r="J3" t="s">
        <v>93</v>
      </c>
      <c r="K3" s="11">
        <v>44950.639677199077</v>
      </c>
      <c r="M3" s="8"/>
    </row>
    <row r="4" spans="2:13" x14ac:dyDescent="0.25">
      <c r="B4" t="s">
        <v>100</v>
      </c>
      <c r="C4" t="s">
        <v>101</v>
      </c>
      <c r="D4" t="s">
        <v>102</v>
      </c>
      <c r="E4" t="s">
        <v>94</v>
      </c>
      <c r="F4" t="s">
        <v>12</v>
      </c>
      <c r="G4" t="s">
        <v>70</v>
      </c>
      <c r="H4" t="s">
        <v>78</v>
      </c>
      <c r="I4" t="s">
        <v>95</v>
      </c>
      <c r="J4" t="s">
        <v>93</v>
      </c>
      <c r="K4" s="11">
        <v>44950.637251388885</v>
      </c>
    </row>
    <row r="5" spans="2:13" x14ac:dyDescent="0.25">
      <c r="B5" t="s">
        <v>99</v>
      </c>
      <c r="C5">
        <v>3548</v>
      </c>
      <c r="D5">
        <v>7888</v>
      </c>
      <c r="E5" t="s">
        <v>94</v>
      </c>
      <c r="F5" t="s">
        <v>12</v>
      </c>
      <c r="G5" t="s">
        <v>70</v>
      </c>
      <c r="H5" t="s">
        <v>76</v>
      </c>
      <c r="I5" t="s">
        <v>92</v>
      </c>
      <c r="J5" t="s">
        <v>92</v>
      </c>
      <c r="K5" s="11">
        <v>44950.636593981479</v>
      </c>
    </row>
    <row r="6" spans="2:13" x14ac:dyDescent="0.25">
      <c r="B6" t="s">
        <v>97</v>
      </c>
      <c r="C6" t="s">
        <v>98</v>
      </c>
      <c r="D6">
        <v>90</v>
      </c>
      <c r="E6" t="s">
        <v>91</v>
      </c>
      <c r="F6" t="s">
        <v>27</v>
      </c>
      <c r="G6" t="s">
        <v>70</v>
      </c>
      <c r="H6" t="s">
        <v>81</v>
      </c>
      <c r="I6" t="s">
        <v>92</v>
      </c>
      <c r="J6" t="s">
        <v>92</v>
      </c>
      <c r="K6" s="11">
        <v>44950.635862384261</v>
      </c>
    </row>
    <row r="22" spans="15:19" x14ac:dyDescent="0.25">
      <c r="S22" s="11"/>
    </row>
    <row r="23" spans="15:19" x14ac:dyDescent="0.25">
      <c r="O23" s="11"/>
    </row>
    <row r="24" spans="15:19" x14ac:dyDescent="0.25">
      <c r="O24" s="1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Concepts used</vt:lpstr>
      <vt:lpstr>Fill the form</vt:lpstr>
      <vt:lpstr>Validation source</vt:lpstr>
      <vt:lpstr>Data source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Elaine Lwane</dc:creator>
  <cp:lastModifiedBy>Elaine Lwane</cp:lastModifiedBy>
  <dcterms:created xsi:type="dcterms:W3CDTF">2023-01-24T07:39:46Z</dcterms:created>
  <dcterms:modified xsi:type="dcterms:W3CDTF">2023-01-24T12:21:50Z</dcterms:modified>
</cp:coreProperties>
</file>